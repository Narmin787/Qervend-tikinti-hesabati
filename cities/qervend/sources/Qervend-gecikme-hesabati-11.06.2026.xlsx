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min Ismayilova\Documents\AFX XN\Tikinti layihələri\Baş Qərvənd layihəsi\Tikinti Icra Hesabati\My data\"/>
    </mc:Choice>
  </mc:AlternateContent>
  <xr:revisionPtr revIDLastSave="0" documentId="13_ncr:1_{5AC484B9-778C-46C4-AE7C-1BB17C95232E}" xr6:coauthVersionLast="47" xr6:coauthVersionMax="47" xr10:uidLastSave="{00000000-0000-0000-0000-000000000000}"/>
  <bookViews>
    <workbookView xWindow="-108" yWindow="-108" windowWidth="23256" windowHeight="13896" firstSheet="2" activeTab="2" xr2:uid="{9F71274E-C3AE-428C-BE0E-2BA70B5C1F66}"/>
  </bookViews>
  <sheets>
    <sheet name="Qərvənd (köhnə)" sheetId="2" state="hidden" r:id="rId1"/>
    <sheet name="Qərvənd (yeni." sheetId="5" state="hidden" r:id="rId2"/>
    <sheet name="Qərvənd (yeni)" sheetId="7" r:id="rId3"/>
    <sheet name="Sheet1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7" l="1"/>
  <c r="N5" i="7"/>
  <c r="N6" i="7"/>
  <c r="N7" i="7"/>
  <c r="N8" i="7"/>
  <c r="N9" i="7"/>
  <c r="N10" i="7"/>
  <c r="N11" i="7"/>
  <c r="M11" i="8"/>
  <c r="G11" i="8"/>
  <c r="M10" i="8"/>
  <c r="G10" i="8"/>
  <c r="M9" i="8"/>
  <c r="G9" i="8"/>
  <c r="M8" i="8"/>
  <c r="G8" i="8"/>
  <c r="M7" i="8"/>
  <c r="G7" i="8"/>
  <c r="M5" i="8"/>
  <c r="G5" i="8"/>
  <c r="M4" i="8"/>
  <c r="G4" i="8"/>
  <c r="M4" i="7"/>
  <c r="M5" i="7" l="1"/>
  <c r="M7" i="7"/>
  <c r="M11" i="7"/>
  <c r="M10" i="7"/>
  <c r="M9" i="7"/>
  <c r="M8" i="7"/>
  <c r="K8" i="5"/>
  <c r="K9" i="5"/>
  <c r="K7" i="5"/>
  <c r="K6" i="5"/>
  <c r="G16" i="5"/>
  <c r="G15" i="5"/>
  <c r="G14" i="5"/>
  <c r="G13" i="5"/>
  <c r="G12" i="5"/>
  <c r="G11" i="5"/>
  <c r="K10" i="5"/>
  <c r="G10" i="5"/>
  <c r="G9" i="5"/>
  <c r="G8" i="5"/>
  <c r="G7" i="5"/>
  <c r="G6" i="5"/>
  <c r="K4" i="5"/>
  <c r="G4" i="5"/>
  <c r="G10" i="2"/>
  <c r="K10" i="2"/>
  <c r="K9" i="2"/>
  <c r="G9" i="2"/>
  <c r="K8" i="2"/>
  <c r="G8" i="2"/>
  <c r="K7" i="2"/>
  <c r="G7" i="2"/>
  <c r="K6" i="2"/>
  <c r="G6" i="2"/>
  <c r="G11" i="2"/>
  <c r="K11" i="2" s="1"/>
  <c r="G17" i="2" l="1"/>
  <c r="G16" i="2"/>
  <c r="G15" i="2"/>
  <c r="G14" i="2"/>
  <c r="G13" i="2"/>
  <c r="G12" i="2"/>
  <c r="G4" i="2"/>
  <c r="K4" i="2" l="1"/>
</calcChain>
</file>

<file path=xl/sharedStrings.xml><?xml version="1.0" encoding="utf-8"?>
<sst xmlns="http://schemas.openxmlformats.org/spreadsheetml/2006/main" count="174" uniqueCount="41">
  <si>
    <t>№</t>
  </si>
  <si>
    <t>Podratçı Təşkilatın adı</t>
  </si>
  <si>
    <t>Layihə adı</t>
  </si>
  <si>
    <t>Başlama tarixi</t>
  </si>
  <si>
    <t>Bitmə tarixi</t>
  </si>
  <si>
    <t xml:space="preserve">İcra müddəti </t>
  </si>
  <si>
    <t>Planlanlaşdırılan iş həcmi %</t>
  </si>
  <si>
    <t>Faktiki iş 
həcmi %</t>
  </si>
  <si>
    <t>16.04.2026
Gecikmə
 %</t>
  </si>
  <si>
    <t>23.04.2026
Gecikmə
 %</t>
  </si>
  <si>
    <t>“İMA Energy” MMC</t>
  </si>
  <si>
    <t>Məktəb 
(840 yerlik)</t>
  </si>
  <si>
    <t>Bağça
(120 yerlik)</t>
  </si>
  <si>
    <t>Bağça
(100 yerlik)</t>
  </si>
  <si>
    <t>İnzibati bina</t>
  </si>
  <si>
    <t>Tibb məntəqəsi</t>
  </si>
  <si>
    <t>FYE (851)</t>
  </si>
  <si>
    <t>Ağdam rayonu
Qərvənd kəndi</t>
  </si>
  <si>
    <t xml:space="preserve"> Ağdam rayonu Qərvənd kəndi Üzrə Tikinti Quraşdırma İşlərinin İcra Hesabatı</t>
  </si>
  <si>
    <t>Sahədaxili kommunikasiya</t>
  </si>
  <si>
    <t>O cümlədən</t>
  </si>
  <si>
    <t>Qəbirsanlıq</t>
  </si>
  <si>
    <t>Qeyd</t>
  </si>
  <si>
    <t>Müqavilə yoxdur</t>
  </si>
  <si>
    <t>FYE
Paket 5 (171 ev)</t>
  </si>
  <si>
    <t>FYE
Paket 1 (150 ev)</t>
  </si>
  <si>
    <t>FYE
Paket 2 (200 ev)</t>
  </si>
  <si>
    <t>FYE
Paket 3 (205 ev)</t>
  </si>
  <si>
    <t>FYE
Paket 4 (296 ev)</t>
  </si>
  <si>
    <t>Sahədaxili yol və kommunikasiya</t>
  </si>
  <si>
    <t>-</t>
  </si>
  <si>
    <t>Keçən ayın sonuna olan gecikmə  %</t>
  </si>
  <si>
    <t>07.05.2026
Gecikmə
 %</t>
  </si>
  <si>
    <t>Ümumi</t>
  </si>
  <si>
    <t>14.05.2026
Gecikmə
 %</t>
  </si>
  <si>
    <t>21.05.2026
Gecikmə
 %</t>
  </si>
  <si>
    <t>04.06.2026
Gecikmə
 %</t>
  </si>
  <si>
    <t>11.06.2026
Gecikmə
 %</t>
  </si>
  <si>
    <t>Həftəlik dəyişiklik
(28.05 → 04.06)</t>
  </si>
  <si>
    <t>Gecikmə (faktiki iş &lt; planlaşdırılan iş)</t>
  </si>
  <si>
    <t>İrəliləmə (faktiki iş &gt;  planlaşdırılan iş)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</si>
</sst>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C]d\ mmm\ yy;@"/>
    <numFmt numFmtId="165" formatCode="0\ &quot;gün&quot;"/>
    <numFmt numFmtId="166" formatCode="dd\.mm\.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color theme="1"/>
      <name val="Calibri"/>
      <family val="2"/>
      <charset val="186"/>
      <scheme val="minor"/>
    </font>
    <font>
      <b/>
      <sz val="11"/>
      <color theme="1"/>
      <name val="Times New Roman"/>
      <family val="1"/>
      <charset val="162"/>
    </font>
    <font>
      <sz val="14"/>
      <color theme="1"/>
      <name val="Times New Roman"/>
      <family val="1"/>
      <charset val="16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2" borderId="0" applyNumberFormat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4" fillId="5" borderId="3" xfId="0" applyFont="1" applyFill="1" applyBorder="1" applyAlignment="1">
      <alignment horizontal="center" vertical="center" wrapText="1"/>
    </xf>
    <xf numFmtId="0" fontId="5" fillId="0" borderId="0" xfId="0" applyFont="1"/>
    <xf numFmtId="164" fontId="6" fillId="0" borderId="3" xfId="0" applyNumberFormat="1" applyFont="1" applyBorder="1" applyAlignment="1" applyProtection="1">
      <alignment horizontal="center" vertical="center"/>
      <protection locked="0"/>
    </xf>
    <xf numFmtId="165" fontId="6" fillId="0" borderId="3" xfId="0" applyNumberFormat="1" applyFont="1" applyBorder="1" applyAlignment="1" applyProtection="1">
      <alignment horizontal="center" vertical="center"/>
      <protection locked="0"/>
    </xf>
    <xf numFmtId="10" fontId="7" fillId="0" borderId="3" xfId="1" applyNumberFormat="1" applyFont="1" applyFill="1" applyBorder="1" applyAlignment="1" applyProtection="1">
      <alignment horizontal="center" vertical="center"/>
      <protection locked="0"/>
    </xf>
    <xf numFmtId="10" fontId="9" fillId="0" borderId="3" xfId="2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>
      <alignment horizontal="center" vertical="center"/>
    </xf>
    <xf numFmtId="9" fontId="6" fillId="0" borderId="9" xfId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64" fontId="6" fillId="0" borderId="10" xfId="0" applyNumberFormat="1" applyFont="1" applyBorder="1" applyAlignment="1" applyProtection="1">
      <alignment horizontal="center" vertical="center"/>
      <protection locked="0"/>
    </xf>
    <xf numFmtId="165" fontId="6" fillId="0" borderId="10" xfId="0" applyNumberFormat="1" applyFont="1" applyBorder="1" applyAlignment="1" applyProtection="1">
      <alignment horizontal="center" vertical="center"/>
      <protection locked="0"/>
    </xf>
    <xf numFmtId="10" fontId="7" fillId="0" borderId="10" xfId="1" applyNumberFormat="1" applyFont="1" applyFill="1" applyBorder="1" applyAlignment="1" applyProtection="1">
      <alignment horizontal="center" vertical="center"/>
      <protection locked="0"/>
    </xf>
    <xf numFmtId="10" fontId="9" fillId="0" borderId="10" xfId="2" applyNumberFormat="1" applyFont="1" applyFill="1" applyBorder="1" applyAlignment="1" applyProtection="1">
      <alignment horizontal="center" vertical="center"/>
      <protection locked="0"/>
    </xf>
    <xf numFmtId="9" fontId="6" fillId="0" borderId="11" xfId="1" applyFont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>
      <alignment horizontal="center" vertical="center" wrapText="1"/>
    </xf>
    <xf numFmtId="166" fontId="2" fillId="4" borderId="4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164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0" fontId="7" fillId="0" borderId="18" xfId="1" applyNumberFormat="1" applyFont="1" applyFill="1" applyBorder="1" applyAlignment="1" applyProtection="1">
      <alignment horizontal="center" vertical="center"/>
      <protection locked="0"/>
    </xf>
    <xf numFmtId="10" fontId="9" fillId="0" borderId="18" xfId="2" applyNumberFormat="1" applyFont="1" applyFill="1" applyBorder="1" applyAlignment="1" applyProtection="1">
      <alignment horizontal="center" vertical="center"/>
      <protection locked="0"/>
    </xf>
    <xf numFmtId="9" fontId="6" fillId="0" borderId="19" xfId="1" applyFont="1" applyBorder="1" applyAlignment="1" applyProtection="1">
      <alignment horizontal="center" vertical="center"/>
      <protection locked="0"/>
    </xf>
    <xf numFmtId="10" fontId="9" fillId="0" borderId="9" xfId="2" applyNumberFormat="1" applyFont="1" applyFill="1" applyBorder="1" applyAlignment="1" applyProtection="1">
      <alignment horizontal="center" vertical="center"/>
      <protection locked="0"/>
    </xf>
    <xf numFmtId="10" fontId="9" fillId="0" borderId="11" xfId="2" applyNumberFormat="1" applyFont="1" applyFill="1" applyBorder="1" applyAlignment="1" applyProtection="1">
      <alignment horizontal="center" vertical="center"/>
      <protection locked="0"/>
    </xf>
    <xf numFmtId="10" fontId="9" fillId="0" borderId="19" xfId="2" applyNumberFormat="1" applyFont="1" applyFill="1" applyBorder="1" applyAlignment="1" applyProtection="1">
      <alignment horizontal="center" vertical="center"/>
      <protection locked="0"/>
    </xf>
    <xf numFmtId="164" fontId="11" fillId="0" borderId="3" xfId="0" applyNumberFormat="1" applyFont="1" applyBorder="1" applyAlignment="1" applyProtection="1">
      <alignment horizontal="center" vertical="center"/>
      <protection locked="0"/>
    </xf>
    <xf numFmtId="164" fontId="11" fillId="0" borderId="9" xfId="0" applyNumberFormat="1" applyFont="1" applyBorder="1" applyAlignment="1" applyProtection="1">
      <alignment horizontal="center" vertical="center"/>
      <protection locked="0"/>
    </xf>
    <xf numFmtId="164" fontId="11" fillId="0" borderId="10" xfId="0" applyNumberFormat="1" applyFont="1" applyBorder="1" applyAlignment="1" applyProtection="1">
      <alignment horizontal="center" vertical="center"/>
      <protection locked="0"/>
    </xf>
    <xf numFmtId="164" fontId="11" fillId="0" borderId="11" xfId="0" applyNumberFormat="1" applyFont="1" applyBorder="1" applyAlignment="1" applyProtection="1">
      <alignment horizontal="center" vertical="center"/>
      <protection locked="0"/>
    </xf>
    <xf numFmtId="10" fontId="7" fillId="0" borderId="15" xfId="1" applyNumberFormat="1" applyFont="1" applyFill="1" applyBorder="1" applyAlignment="1" applyProtection="1">
      <alignment horizontal="center" vertical="center"/>
      <protection locked="0"/>
    </xf>
    <xf numFmtId="10" fontId="7" fillId="0" borderId="20" xfId="1" applyNumberFormat="1" applyFont="1" applyFill="1" applyBorder="1" applyAlignment="1" applyProtection="1">
      <alignment horizontal="center" vertical="center"/>
      <protection locked="0"/>
    </xf>
    <xf numFmtId="10" fontId="7" fillId="0" borderId="21" xfId="1" applyNumberFormat="1" applyFont="1" applyFill="1" applyBorder="1" applyAlignment="1" applyProtection="1">
      <alignment horizontal="center" vertical="center"/>
      <protection locked="0"/>
    </xf>
    <xf numFmtId="164" fontId="12" fillId="6" borderId="3" xfId="0" applyNumberFormat="1" applyFont="1" applyFill="1" applyBorder="1" applyAlignment="1" applyProtection="1">
      <alignment horizontal="center" vertical="center"/>
      <protection locked="0"/>
    </xf>
    <xf numFmtId="165" fontId="12" fillId="6" borderId="3" xfId="0" applyNumberFormat="1" applyFont="1" applyFill="1" applyBorder="1" applyAlignment="1" applyProtection="1">
      <alignment horizontal="center" vertical="center"/>
      <protection locked="0"/>
    </xf>
    <xf numFmtId="10" fontId="12" fillId="6" borderId="3" xfId="1" applyNumberFormat="1" applyFont="1" applyFill="1" applyBorder="1" applyAlignment="1" applyProtection="1">
      <alignment horizontal="center" vertical="center"/>
      <protection locked="0"/>
    </xf>
    <xf numFmtId="10" fontId="12" fillId="6" borderId="9" xfId="2" applyNumberFormat="1" applyFont="1" applyFill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4" fillId="5" borderId="15" xfId="0" applyFont="1" applyFill="1" applyBorder="1" applyAlignment="1">
      <alignment horizontal="center" vertical="center" wrapText="1"/>
    </xf>
    <xf numFmtId="10" fontId="12" fillId="6" borderId="15" xfId="1" applyNumberFormat="1" applyFont="1" applyFill="1" applyBorder="1" applyAlignment="1" applyProtection="1">
      <alignment horizontal="center" vertical="center"/>
      <protection locked="0"/>
    </xf>
    <xf numFmtId="164" fontId="11" fillId="0" borderId="15" xfId="0" applyNumberFormat="1" applyFont="1" applyBorder="1" applyAlignment="1" applyProtection="1">
      <alignment horizontal="center" vertical="center"/>
      <protection locked="0"/>
    </xf>
    <xf numFmtId="164" fontId="11" fillId="0" borderId="20" xfId="0" applyNumberFormat="1" applyFont="1" applyBorder="1" applyAlignment="1" applyProtection="1">
      <alignment horizontal="center" vertical="center"/>
      <protection locked="0"/>
    </xf>
    <xf numFmtId="0" fontId="2" fillId="3" borderId="14" xfId="0" applyFont="1" applyFill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center" vertical="center"/>
      <protection locked="0"/>
    </xf>
    <xf numFmtId="10" fontId="12" fillId="6" borderId="3" xfId="2" applyNumberFormat="1" applyFont="1" applyFill="1" applyBorder="1" applyAlignment="1" applyProtection="1">
      <alignment horizontal="center" vertical="center"/>
      <protection locked="0"/>
    </xf>
    <xf numFmtId="166" fontId="2" fillId="4" borderId="6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/>
    <xf numFmtId="0" fontId="2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/>
    <xf numFmtId="0" fontId="13" fillId="5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12" fillId="6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0" fillId="0" borderId="17" xfId="0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 applyProtection="1">
      <alignment horizontal="center" vertical="center" wrapText="1"/>
      <protection locked="0"/>
    </xf>
    <xf numFmtId="0" fontId="12" fillId="6" borderId="25" xfId="0" applyFont="1" applyFill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3" fillId="7" borderId="27" xfId="0" applyFont="1" applyFill="1" applyBorder="1" applyAlignment="1">
      <alignment horizontal="center"/>
    </xf>
    <xf numFmtId="0" fontId="3" fillId="7" borderId="28" xfId="0" applyFont="1" applyFill="1" applyBorder="1" applyAlignment="1">
      <alignment horizontal="center"/>
    </xf>
    <xf numFmtId="0" fontId="3" fillId="7" borderId="29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</cellXfs>
  <cellStyles count="3">
    <cellStyle name="40% - Accent2" xfId="2" builtinId="35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698B-7770-415A-8016-7D74B2E0DCF7}">
  <sheetPr>
    <pageSetUpPr fitToPage="1"/>
  </sheetPr>
  <dimension ref="A1:L17"/>
  <sheetViews>
    <sheetView workbookViewId="0">
      <selection activeCell="D8" sqref="D8:D9"/>
    </sheetView>
  </sheetViews>
  <sheetFormatPr defaultColWidth="9.21875" defaultRowHeight="13.8" x14ac:dyDescent="0.25"/>
  <cols>
    <col min="1" max="1" width="5.77734375" style="1" customWidth="1"/>
    <col min="2" max="2" width="25" style="1" customWidth="1"/>
    <col min="3" max="3" width="19.33203125" style="1" bestFit="1" customWidth="1"/>
    <col min="4" max="4" width="17" style="1" customWidth="1"/>
    <col min="5" max="5" width="14.6640625" style="1" customWidth="1"/>
    <col min="6" max="7" width="17" style="1" customWidth="1"/>
    <col min="8" max="8" width="16.77734375" style="1" customWidth="1"/>
    <col min="9" max="10" width="16" style="1" customWidth="1"/>
    <col min="11" max="11" width="15.21875" style="1" customWidth="1"/>
    <col min="12" max="12" width="22.44140625" style="1" customWidth="1"/>
    <col min="13" max="16384" width="9.21875" style="1"/>
  </cols>
  <sheetData>
    <row r="1" spans="1:12" ht="54.75" customHeight="1" thickBot="1" x14ac:dyDescent="0.3">
      <c r="A1" s="70" t="s">
        <v>18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20">
        <v>46135</v>
      </c>
    </row>
    <row r="2" spans="1:12" ht="22.9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s="3" customFormat="1" ht="50.25" customHeight="1" x14ac:dyDescent="0.3">
      <c r="A3" s="11" t="s">
        <v>0</v>
      </c>
      <c r="B3" s="2" t="s">
        <v>1</v>
      </c>
      <c r="C3" s="61" t="s">
        <v>2</v>
      </c>
      <c r="D3" s="61"/>
      <c r="E3" s="2" t="s">
        <v>3</v>
      </c>
      <c r="F3" s="21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19" t="s">
        <v>22</v>
      </c>
    </row>
    <row r="4" spans="1:12" ht="36.6" customHeight="1" x14ac:dyDescent="0.25">
      <c r="A4" s="62">
        <v>1</v>
      </c>
      <c r="B4" s="64" t="s">
        <v>10</v>
      </c>
      <c r="C4" s="67" t="s">
        <v>17</v>
      </c>
      <c r="D4" s="22" t="s">
        <v>16</v>
      </c>
      <c r="E4" s="4">
        <v>45936</v>
      </c>
      <c r="F4" s="4">
        <v>46331</v>
      </c>
      <c r="G4" s="5">
        <f t="shared" ref="G4:G15" si="0">F4-E4</f>
        <v>395</v>
      </c>
      <c r="H4" s="6">
        <v>0.36859999999999998</v>
      </c>
      <c r="I4" s="6">
        <v>0.2651</v>
      </c>
      <c r="J4" s="6">
        <v>-9.5100000000000004E-2</v>
      </c>
      <c r="K4" s="7">
        <f t="shared" ref="K4:K10" si="1">I4-H4</f>
        <v>-0.10349999999999998</v>
      </c>
      <c r="L4" s="12"/>
    </row>
    <row r="5" spans="1:12" ht="24.6" customHeight="1" x14ac:dyDescent="0.25">
      <c r="A5" s="62"/>
      <c r="B5" s="64"/>
      <c r="C5" s="67"/>
      <c r="D5" s="73" t="s">
        <v>20</v>
      </c>
      <c r="E5" s="74"/>
      <c r="F5" s="74"/>
      <c r="G5" s="74"/>
      <c r="H5" s="74"/>
      <c r="I5" s="74"/>
      <c r="J5" s="74"/>
      <c r="K5" s="74"/>
      <c r="L5" s="75"/>
    </row>
    <row r="6" spans="1:12" ht="36.6" customHeight="1" x14ac:dyDescent="0.25">
      <c r="A6" s="62"/>
      <c r="B6" s="64"/>
      <c r="C6" s="67"/>
      <c r="D6" s="22" t="s">
        <v>25</v>
      </c>
      <c r="E6" s="4">
        <v>45936</v>
      </c>
      <c r="F6" s="4">
        <v>46312</v>
      </c>
      <c r="G6" s="5">
        <f t="shared" si="0"/>
        <v>376</v>
      </c>
      <c r="H6" s="6">
        <v>0.60050000000000003</v>
      </c>
      <c r="I6" s="6">
        <v>0.37359999999999999</v>
      </c>
      <c r="J6" s="6">
        <v>-0.1804</v>
      </c>
      <c r="K6" s="7">
        <f t="shared" si="1"/>
        <v>-0.22690000000000005</v>
      </c>
      <c r="L6" s="12"/>
    </row>
    <row r="7" spans="1:12" ht="36.6" customHeight="1" x14ac:dyDescent="0.25">
      <c r="A7" s="62"/>
      <c r="B7" s="64"/>
      <c r="C7" s="67"/>
      <c r="D7" s="22" t="s">
        <v>26</v>
      </c>
      <c r="E7" s="4">
        <v>45976</v>
      </c>
      <c r="F7" s="4">
        <v>46329</v>
      </c>
      <c r="G7" s="5">
        <f t="shared" si="0"/>
        <v>353</v>
      </c>
      <c r="H7" s="6">
        <v>0.57199999999999995</v>
      </c>
      <c r="I7" s="6">
        <v>0.34179999999999999</v>
      </c>
      <c r="J7" s="6">
        <v>-0.1739</v>
      </c>
      <c r="K7" s="7">
        <f t="shared" si="1"/>
        <v>-0.23019999999999996</v>
      </c>
      <c r="L7" s="12"/>
    </row>
    <row r="8" spans="1:12" ht="36.6" customHeight="1" x14ac:dyDescent="0.25">
      <c r="A8" s="62"/>
      <c r="B8" s="64"/>
      <c r="C8" s="67"/>
      <c r="D8" s="22" t="s">
        <v>27</v>
      </c>
      <c r="E8" s="4">
        <v>45966</v>
      </c>
      <c r="F8" s="4">
        <v>46300</v>
      </c>
      <c r="G8" s="5">
        <f t="shared" si="0"/>
        <v>334</v>
      </c>
      <c r="H8" s="6">
        <v>0.14860000000000001</v>
      </c>
      <c r="I8" s="6">
        <v>0.214</v>
      </c>
      <c r="J8" s="6">
        <v>7.6399999999999996E-2</v>
      </c>
      <c r="K8" s="7">
        <f t="shared" si="1"/>
        <v>6.5399999999999986E-2</v>
      </c>
      <c r="L8" s="12"/>
    </row>
    <row r="9" spans="1:12" ht="36.6" customHeight="1" x14ac:dyDescent="0.25">
      <c r="A9" s="62"/>
      <c r="B9" s="64"/>
      <c r="C9" s="67"/>
      <c r="D9" s="22" t="s">
        <v>28</v>
      </c>
      <c r="E9" s="4">
        <v>45986</v>
      </c>
      <c r="F9" s="4">
        <v>46334</v>
      </c>
      <c r="G9" s="5">
        <f t="shared" si="0"/>
        <v>348</v>
      </c>
      <c r="H9" s="6">
        <v>0.29680000000000001</v>
      </c>
      <c r="I9" s="6">
        <v>0.25540000000000002</v>
      </c>
      <c r="J9" s="6">
        <v>-2.9399999999999999E-2</v>
      </c>
      <c r="K9" s="7">
        <f t="shared" si="1"/>
        <v>-4.1399999999999992E-2</v>
      </c>
      <c r="L9" s="12"/>
    </row>
    <row r="10" spans="1:12" ht="36.6" customHeight="1" thickBot="1" x14ac:dyDescent="0.3">
      <c r="A10" s="62"/>
      <c r="B10" s="64"/>
      <c r="C10" s="67"/>
      <c r="D10" s="13" t="s">
        <v>24</v>
      </c>
      <c r="E10" s="14">
        <v>45986</v>
      </c>
      <c r="F10" s="14">
        <v>46332</v>
      </c>
      <c r="G10" s="15">
        <f t="shared" si="0"/>
        <v>346</v>
      </c>
      <c r="H10" s="16">
        <v>0.12989999999999999</v>
      </c>
      <c r="I10" s="16">
        <v>9.5000000000000001E-2</v>
      </c>
      <c r="J10" s="16">
        <v>-2.7300000000000001E-2</v>
      </c>
      <c r="K10" s="17">
        <f t="shared" si="1"/>
        <v>-3.4899999999999987E-2</v>
      </c>
      <c r="L10" s="18"/>
    </row>
    <row r="11" spans="1:12" ht="36.6" customHeight="1" x14ac:dyDescent="0.25">
      <c r="A11" s="62"/>
      <c r="B11" s="64"/>
      <c r="C11" s="67"/>
      <c r="D11" s="23" t="s">
        <v>19</v>
      </c>
      <c r="E11" s="24">
        <v>45946</v>
      </c>
      <c r="F11" s="24">
        <v>46315</v>
      </c>
      <c r="G11" s="25">
        <f t="shared" ref="G11" si="2">F11-E11</f>
        <v>369</v>
      </c>
      <c r="H11" s="26">
        <v>0.3528</v>
      </c>
      <c r="I11" s="26">
        <v>2.4500000000000001E-2</v>
      </c>
      <c r="J11" s="26">
        <v>-0.27138329238329234</v>
      </c>
      <c r="K11" s="27">
        <f t="shared" ref="K11" si="3">I11-H11</f>
        <v>-0.32829999999999998</v>
      </c>
      <c r="L11" s="28"/>
    </row>
    <row r="12" spans="1:12" ht="36.6" customHeight="1" x14ac:dyDescent="0.25">
      <c r="A12" s="62"/>
      <c r="B12" s="64"/>
      <c r="C12" s="64"/>
      <c r="D12" s="22" t="s">
        <v>14</v>
      </c>
      <c r="E12" s="4">
        <v>46084</v>
      </c>
      <c r="F12" s="4">
        <v>46352</v>
      </c>
      <c r="G12" s="5">
        <f t="shared" si="0"/>
        <v>268</v>
      </c>
      <c r="H12" s="6">
        <v>0.11849999999999999</v>
      </c>
      <c r="I12" s="6">
        <v>5.4999999999999997E-3</v>
      </c>
      <c r="J12" s="6">
        <v>0</v>
      </c>
      <c r="K12" s="7">
        <v>0</v>
      </c>
      <c r="L12" s="12" t="s">
        <v>23</v>
      </c>
    </row>
    <row r="13" spans="1:12" ht="36.6" customHeight="1" x14ac:dyDescent="0.25">
      <c r="A13" s="62"/>
      <c r="B13" s="64"/>
      <c r="C13" s="64"/>
      <c r="D13" s="22" t="s">
        <v>11</v>
      </c>
      <c r="E13" s="4">
        <v>46054</v>
      </c>
      <c r="F13" s="4">
        <v>46359</v>
      </c>
      <c r="G13" s="5">
        <f t="shared" si="0"/>
        <v>305</v>
      </c>
      <c r="H13" s="6">
        <v>0.14749999999999999</v>
      </c>
      <c r="I13" s="6">
        <v>8.0000000000000002E-3</v>
      </c>
      <c r="J13" s="6">
        <v>0</v>
      </c>
      <c r="K13" s="7">
        <v>0</v>
      </c>
      <c r="L13" s="12" t="s">
        <v>23</v>
      </c>
    </row>
    <row r="14" spans="1:12" ht="36.6" customHeight="1" x14ac:dyDescent="0.25">
      <c r="A14" s="62"/>
      <c r="B14" s="64"/>
      <c r="C14" s="64"/>
      <c r="D14" s="22" t="s">
        <v>12</v>
      </c>
      <c r="E14" s="4">
        <v>46054</v>
      </c>
      <c r="F14" s="4">
        <v>46353</v>
      </c>
      <c r="G14" s="5">
        <f t="shared" si="0"/>
        <v>299</v>
      </c>
      <c r="H14" s="6">
        <v>0.17349999999999999</v>
      </c>
      <c r="I14" s="6">
        <v>1.3599999999999999E-2</v>
      </c>
      <c r="J14" s="6">
        <v>0</v>
      </c>
      <c r="K14" s="7">
        <v>0</v>
      </c>
      <c r="L14" s="12" t="s">
        <v>23</v>
      </c>
    </row>
    <row r="15" spans="1:12" ht="36.6" customHeight="1" x14ac:dyDescent="0.25">
      <c r="A15" s="62"/>
      <c r="B15" s="64"/>
      <c r="C15" s="64"/>
      <c r="D15" s="22" t="s">
        <v>13</v>
      </c>
      <c r="E15" s="4">
        <v>46069</v>
      </c>
      <c r="F15" s="4">
        <v>46355</v>
      </c>
      <c r="G15" s="5">
        <f t="shared" si="0"/>
        <v>286</v>
      </c>
      <c r="H15" s="6">
        <v>0.1082</v>
      </c>
      <c r="I15" s="6">
        <v>9.1999999999999998E-3</v>
      </c>
      <c r="J15" s="6">
        <v>0</v>
      </c>
      <c r="K15" s="7">
        <v>0</v>
      </c>
      <c r="L15" s="12" t="s">
        <v>23</v>
      </c>
    </row>
    <row r="16" spans="1:12" ht="36.6" customHeight="1" x14ac:dyDescent="0.25">
      <c r="A16" s="62"/>
      <c r="B16" s="64"/>
      <c r="C16" s="64"/>
      <c r="D16" s="22" t="s">
        <v>15</v>
      </c>
      <c r="E16" s="4">
        <v>46094</v>
      </c>
      <c r="F16" s="4">
        <v>46320</v>
      </c>
      <c r="G16" s="5">
        <f t="shared" ref="G16:G17" si="4">F16-E16</f>
        <v>226</v>
      </c>
      <c r="H16" s="6">
        <v>0.1014</v>
      </c>
      <c r="I16" s="6">
        <v>8.8000000000000005E-3</v>
      </c>
      <c r="J16" s="6">
        <v>0</v>
      </c>
      <c r="K16" s="7">
        <v>0</v>
      </c>
      <c r="L16" s="12" t="s">
        <v>23</v>
      </c>
    </row>
    <row r="17" spans="1:12" ht="36.6" customHeight="1" thickBot="1" x14ac:dyDescent="0.3">
      <c r="A17" s="63"/>
      <c r="B17" s="65"/>
      <c r="C17" s="65"/>
      <c r="D17" s="13" t="s">
        <v>21</v>
      </c>
      <c r="E17" s="14">
        <v>46124</v>
      </c>
      <c r="F17" s="14">
        <v>46240</v>
      </c>
      <c r="G17" s="15">
        <f t="shared" si="4"/>
        <v>116</v>
      </c>
      <c r="H17" s="16">
        <v>4.48E-2</v>
      </c>
      <c r="I17" s="16">
        <v>0</v>
      </c>
      <c r="J17" s="16">
        <v>0</v>
      </c>
      <c r="K17" s="17">
        <v>0</v>
      </c>
      <c r="L17" s="18" t="s">
        <v>23</v>
      </c>
    </row>
  </sheetData>
  <mergeCells count="6">
    <mergeCell ref="A1:K1"/>
    <mergeCell ref="C3:D3"/>
    <mergeCell ref="A4:A17"/>
    <mergeCell ref="B4:B17"/>
    <mergeCell ref="C4:C17"/>
    <mergeCell ref="D5:L5"/>
  </mergeCells>
  <pageMargins left="0.7" right="0.7" top="0.75" bottom="0.75" header="0.3" footer="0.3"/>
  <pageSetup paperSize="9" scale="85" fitToHeight="0" orientation="portrait" verticalDpi="0" r:id="rId1"/>
  <ignoredErrors>
    <ignoredError sqref="G12 G16:G17 G4 G15 G13 I13 G14 I15 K4 G11 K6:K7 G6:G7 G8 K8:K9 K10 G9:G10 J11:K1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A93C-CB8E-44E5-848C-B57CC3D99464}">
  <sheetPr>
    <pageSetUpPr fitToPage="1"/>
  </sheetPr>
  <dimension ref="A1:L16"/>
  <sheetViews>
    <sheetView workbookViewId="0">
      <selection activeCell="L12" sqref="L12"/>
    </sheetView>
  </sheetViews>
  <sheetFormatPr defaultColWidth="9.21875" defaultRowHeight="13.8" x14ac:dyDescent="0.25"/>
  <cols>
    <col min="1" max="1" width="5.77734375" style="1" customWidth="1"/>
    <col min="2" max="2" width="25" style="1" customWidth="1"/>
    <col min="3" max="3" width="19.33203125" style="1" bestFit="1" customWidth="1"/>
    <col min="4" max="4" width="17" style="1" customWidth="1"/>
    <col min="5" max="5" width="14.6640625" style="1" customWidth="1"/>
    <col min="6" max="7" width="17" style="1" customWidth="1"/>
    <col min="8" max="8" width="16.77734375" style="1" customWidth="1"/>
    <col min="9" max="10" width="16" style="1" customWidth="1"/>
    <col min="11" max="11" width="15.21875" style="1" customWidth="1"/>
    <col min="12" max="12" width="22.44140625" style="1" customWidth="1"/>
    <col min="13" max="16384" width="9.21875" style="1"/>
  </cols>
  <sheetData>
    <row r="1" spans="1:12" ht="54.75" customHeight="1" thickBot="1" x14ac:dyDescent="0.3">
      <c r="A1" s="70" t="s">
        <v>18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20">
        <v>46135</v>
      </c>
    </row>
    <row r="2" spans="1:12" ht="22.9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s="3" customFormat="1" ht="50.25" customHeight="1" x14ac:dyDescent="0.3">
      <c r="A3" s="11" t="s">
        <v>0</v>
      </c>
      <c r="B3" s="2" t="s">
        <v>1</v>
      </c>
      <c r="C3" s="61" t="s">
        <v>2</v>
      </c>
      <c r="D3" s="61"/>
      <c r="E3" s="2" t="s">
        <v>3</v>
      </c>
      <c r="F3" s="21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19" t="s">
        <v>22</v>
      </c>
    </row>
    <row r="4" spans="1:12" ht="36.6" customHeight="1" x14ac:dyDescent="0.25">
      <c r="A4" s="62">
        <v>1</v>
      </c>
      <c r="B4" s="64" t="s">
        <v>10</v>
      </c>
      <c r="C4" s="67" t="s">
        <v>17</v>
      </c>
      <c r="D4" s="22" t="s">
        <v>16</v>
      </c>
      <c r="E4" s="4">
        <v>45936</v>
      </c>
      <c r="F4" s="4">
        <v>46331</v>
      </c>
      <c r="G4" s="5">
        <f t="shared" ref="G4:G16" si="0">F4-E4</f>
        <v>395</v>
      </c>
      <c r="H4" s="6">
        <v>0.42330000000000001</v>
      </c>
      <c r="I4" s="6">
        <v>0.28160000000000002</v>
      </c>
      <c r="J4" s="6">
        <v>-0.11749999999999999</v>
      </c>
      <c r="K4" s="7">
        <f t="shared" ref="K4:K10" si="1">I4-H4</f>
        <v>-0.14169999999999999</v>
      </c>
      <c r="L4" s="12"/>
    </row>
    <row r="5" spans="1:12" ht="24.6" customHeight="1" x14ac:dyDescent="0.25">
      <c r="A5" s="62"/>
      <c r="B5" s="64"/>
      <c r="C5" s="67"/>
      <c r="D5" s="73" t="s">
        <v>20</v>
      </c>
      <c r="E5" s="74"/>
      <c r="F5" s="74"/>
      <c r="G5" s="74"/>
      <c r="H5" s="74"/>
      <c r="I5" s="74"/>
      <c r="J5" s="74"/>
      <c r="K5" s="74"/>
      <c r="L5" s="75"/>
    </row>
    <row r="6" spans="1:12" ht="36.6" customHeight="1" x14ac:dyDescent="0.25">
      <c r="A6" s="62"/>
      <c r="B6" s="64"/>
      <c r="C6" s="67"/>
      <c r="D6" s="22" t="s">
        <v>25</v>
      </c>
      <c r="E6" s="4">
        <v>45936</v>
      </c>
      <c r="F6" s="4">
        <v>46295</v>
      </c>
      <c r="G6" s="5">
        <f t="shared" si="0"/>
        <v>359</v>
      </c>
      <c r="H6" s="6">
        <v>0.48899999999999999</v>
      </c>
      <c r="I6" s="6">
        <v>0.37390000000000001</v>
      </c>
      <c r="J6" s="6">
        <v>-9.6500000000000002E-2</v>
      </c>
      <c r="K6" s="7">
        <f t="shared" si="1"/>
        <v>-0.11509999999999998</v>
      </c>
      <c r="L6" s="12"/>
    </row>
    <row r="7" spans="1:12" ht="36.6" customHeight="1" x14ac:dyDescent="0.25">
      <c r="A7" s="62"/>
      <c r="B7" s="64"/>
      <c r="C7" s="67"/>
      <c r="D7" s="22" t="s">
        <v>26</v>
      </c>
      <c r="E7" s="4">
        <v>45936</v>
      </c>
      <c r="F7" s="4">
        <v>46325</v>
      </c>
      <c r="G7" s="5">
        <f t="shared" si="0"/>
        <v>389</v>
      </c>
      <c r="H7" s="6">
        <v>0.49170000000000003</v>
      </c>
      <c r="I7" s="6">
        <v>0.3967</v>
      </c>
      <c r="J7" s="6">
        <v>-7.3899999999999993E-2</v>
      </c>
      <c r="K7" s="7">
        <f t="shared" si="1"/>
        <v>-9.5000000000000029E-2</v>
      </c>
      <c r="L7" s="12"/>
    </row>
    <row r="8" spans="1:12" ht="36.6" customHeight="1" x14ac:dyDescent="0.25">
      <c r="A8" s="62"/>
      <c r="B8" s="64"/>
      <c r="C8" s="67"/>
      <c r="D8" s="22" t="s">
        <v>27</v>
      </c>
      <c r="E8" s="4">
        <v>45936</v>
      </c>
      <c r="F8" s="4">
        <v>46341</v>
      </c>
      <c r="G8" s="5">
        <f t="shared" si="0"/>
        <v>405</v>
      </c>
      <c r="H8" s="6">
        <v>0.44640000000000002</v>
      </c>
      <c r="I8" s="6">
        <v>0.3634</v>
      </c>
      <c r="J8" s="6">
        <v>-7.6399999999999996E-2</v>
      </c>
      <c r="K8" s="7">
        <f t="shared" si="1"/>
        <v>-8.3000000000000018E-2</v>
      </c>
      <c r="L8" s="12"/>
    </row>
    <row r="9" spans="1:12" ht="36.6" customHeight="1" thickBot="1" x14ac:dyDescent="0.3">
      <c r="A9" s="62"/>
      <c r="B9" s="64"/>
      <c r="C9" s="67"/>
      <c r="D9" s="13" t="s">
        <v>28</v>
      </c>
      <c r="E9" s="14">
        <v>45936</v>
      </c>
      <c r="F9" s="14">
        <v>46351</v>
      </c>
      <c r="G9" s="15">
        <f t="shared" si="0"/>
        <v>415</v>
      </c>
      <c r="H9" s="16">
        <v>0.33629999999999999</v>
      </c>
      <c r="I9" s="16">
        <v>0.24729999999999999</v>
      </c>
      <c r="J9" s="16">
        <v>-6.9400000000000003E-2</v>
      </c>
      <c r="K9" s="17">
        <f t="shared" si="1"/>
        <v>-8.8999999999999996E-2</v>
      </c>
      <c r="L9" s="18"/>
    </row>
    <row r="10" spans="1:12" ht="36.6" customHeight="1" x14ac:dyDescent="0.25">
      <c r="A10" s="62"/>
      <c r="B10" s="64"/>
      <c r="C10" s="67"/>
      <c r="D10" s="23" t="s">
        <v>19</v>
      </c>
      <c r="E10" s="24">
        <v>45946</v>
      </c>
      <c r="F10" s="24">
        <v>46315</v>
      </c>
      <c r="G10" s="25">
        <f t="shared" si="0"/>
        <v>369</v>
      </c>
      <c r="H10" s="26">
        <v>0.3528</v>
      </c>
      <c r="I10" s="26">
        <v>2.4500000000000001E-2</v>
      </c>
      <c r="J10" s="26">
        <v>-0.27138329238329234</v>
      </c>
      <c r="K10" s="27">
        <f t="shared" si="1"/>
        <v>-0.32829999999999998</v>
      </c>
      <c r="L10" s="28"/>
    </row>
    <row r="11" spans="1:12" ht="36.6" customHeight="1" x14ac:dyDescent="0.25">
      <c r="A11" s="62"/>
      <c r="B11" s="64"/>
      <c r="C11" s="64"/>
      <c r="D11" s="22" t="s">
        <v>14</v>
      </c>
      <c r="E11" s="4">
        <v>46084</v>
      </c>
      <c r="F11" s="4">
        <v>46352</v>
      </c>
      <c r="G11" s="5">
        <f t="shared" si="0"/>
        <v>268</v>
      </c>
      <c r="H11" s="6">
        <v>0.11849999999999999</v>
      </c>
      <c r="I11" s="6">
        <v>5.4999999999999997E-3</v>
      </c>
      <c r="J11" s="6">
        <v>0</v>
      </c>
      <c r="K11" s="7">
        <v>0</v>
      </c>
      <c r="L11" s="12" t="s">
        <v>23</v>
      </c>
    </row>
    <row r="12" spans="1:12" ht="36.6" customHeight="1" x14ac:dyDescent="0.25">
      <c r="A12" s="62"/>
      <c r="B12" s="64"/>
      <c r="C12" s="64"/>
      <c r="D12" s="22" t="s">
        <v>11</v>
      </c>
      <c r="E12" s="4">
        <v>46054</v>
      </c>
      <c r="F12" s="4">
        <v>46359</v>
      </c>
      <c r="G12" s="5">
        <f t="shared" si="0"/>
        <v>305</v>
      </c>
      <c r="H12" s="6">
        <v>0.14749999999999999</v>
      </c>
      <c r="I12" s="6">
        <v>8.0000000000000002E-3</v>
      </c>
      <c r="J12" s="6">
        <v>0</v>
      </c>
      <c r="K12" s="7">
        <v>0</v>
      </c>
      <c r="L12" s="12" t="s">
        <v>23</v>
      </c>
    </row>
    <row r="13" spans="1:12" ht="36.6" customHeight="1" x14ac:dyDescent="0.25">
      <c r="A13" s="62"/>
      <c r="B13" s="64"/>
      <c r="C13" s="64"/>
      <c r="D13" s="22" t="s">
        <v>12</v>
      </c>
      <c r="E13" s="4">
        <v>46054</v>
      </c>
      <c r="F13" s="4">
        <v>46353</v>
      </c>
      <c r="G13" s="5">
        <f t="shared" si="0"/>
        <v>299</v>
      </c>
      <c r="H13" s="6">
        <v>0.17349999999999999</v>
      </c>
      <c r="I13" s="6">
        <v>1.3599999999999999E-2</v>
      </c>
      <c r="J13" s="6">
        <v>0</v>
      </c>
      <c r="K13" s="7">
        <v>0</v>
      </c>
      <c r="L13" s="12" t="s">
        <v>23</v>
      </c>
    </row>
    <row r="14" spans="1:12" ht="36.6" customHeight="1" x14ac:dyDescent="0.25">
      <c r="A14" s="62"/>
      <c r="B14" s="64"/>
      <c r="C14" s="64"/>
      <c r="D14" s="22" t="s">
        <v>13</v>
      </c>
      <c r="E14" s="4">
        <v>46069</v>
      </c>
      <c r="F14" s="4">
        <v>46355</v>
      </c>
      <c r="G14" s="5">
        <f t="shared" si="0"/>
        <v>286</v>
      </c>
      <c r="H14" s="6">
        <v>0.1082</v>
      </c>
      <c r="I14" s="6">
        <v>9.1999999999999998E-3</v>
      </c>
      <c r="J14" s="6">
        <v>0</v>
      </c>
      <c r="K14" s="7">
        <v>0</v>
      </c>
      <c r="L14" s="12" t="s">
        <v>23</v>
      </c>
    </row>
    <row r="15" spans="1:12" ht="36.6" customHeight="1" x14ac:dyDescent="0.25">
      <c r="A15" s="62"/>
      <c r="B15" s="64"/>
      <c r="C15" s="64"/>
      <c r="D15" s="22" t="s">
        <v>15</v>
      </c>
      <c r="E15" s="4">
        <v>46094</v>
      </c>
      <c r="F15" s="4">
        <v>46320</v>
      </c>
      <c r="G15" s="5">
        <f t="shared" si="0"/>
        <v>226</v>
      </c>
      <c r="H15" s="6">
        <v>0.1014</v>
      </c>
      <c r="I15" s="6">
        <v>8.8000000000000005E-3</v>
      </c>
      <c r="J15" s="6">
        <v>0</v>
      </c>
      <c r="K15" s="7">
        <v>0</v>
      </c>
      <c r="L15" s="12" t="s">
        <v>23</v>
      </c>
    </row>
    <row r="16" spans="1:12" ht="36.6" customHeight="1" thickBot="1" x14ac:dyDescent="0.3">
      <c r="A16" s="63"/>
      <c r="B16" s="65"/>
      <c r="C16" s="65"/>
      <c r="D16" s="13" t="s">
        <v>21</v>
      </c>
      <c r="E16" s="14">
        <v>46124</v>
      </c>
      <c r="F16" s="14">
        <v>46240</v>
      </c>
      <c r="G16" s="15">
        <f t="shared" si="0"/>
        <v>116</v>
      </c>
      <c r="H16" s="16">
        <v>4.48E-2</v>
      </c>
      <c r="I16" s="16">
        <v>0</v>
      </c>
      <c r="J16" s="16">
        <v>0</v>
      </c>
      <c r="K16" s="17">
        <v>0</v>
      </c>
      <c r="L16" s="18" t="s">
        <v>23</v>
      </c>
    </row>
  </sheetData>
  <mergeCells count="6">
    <mergeCell ref="A1:K1"/>
    <mergeCell ref="C3:D3"/>
    <mergeCell ref="A4:A16"/>
    <mergeCell ref="B4:B16"/>
    <mergeCell ref="C4:C16"/>
    <mergeCell ref="D5:L5"/>
  </mergeCells>
  <pageMargins left="0.7" right="0.7" top="0.75" bottom="0.75" header="0.3" footer="0.3"/>
  <pageSetup paperSize="8" scale="95" fitToHeight="0" orientation="landscape" verticalDpi="0" r:id="rId1"/>
  <ignoredErrors>
    <ignoredError sqref="G6:G9 K4 K6:K10 G4 G10:G16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0B10-AE4A-42AF-A4E1-0969FD6B063F}">
  <sheetPr>
    <pageSetUpPr fitToPage="1"/>
  </sheetPr>
  <dimension ref="A1:N14"/>
  <sheetViews>
    <sheetView tabSelected="1" zoomScale="90" zoomScaleNormal="90" workbookViewId="0">
      <selection activeCell="A13" sqref="A13:C14"/>
    </sheetView>
  </sheetViews>
  <sheetFormatPr defaultColWidth="9.21875" defaultRowHeight="13.8" x14ac:dyDescent="0.25"/>
  <cols>
    <col min="1" max="1" width="5.77734375" style="1" customWidth="1"/>
    <col min="2" max="2" width="25" style="1" customWidth="1"/>
    <col min="3" max="3" width="19.33203125" style="1" bestFit="1" customWidth="1"/>
    <col min="4" max="4" width="17" style="1" customWidth="1"/>
    <col min="5" max="5" width="14.6640625" style="1" customWidth="1"/>
    <col min="6" max="6" width="17" style="1" customWidth="1"/>
    <col min="7" max="7" width="16.77734375" style="1" customWidth="1"/>
    <col min="8" max="10" width="16" style="1" customWidth="1"/>
    <col min="11" max="12" width="16" style="1" hidden="1" customWidth="1"/>
    <col min="13" max="13" width="15.21875" style="1" customWidth="1"/>
    <col min="14" max="14" width="22.77734375" style="1" bestFit="1" customWidth="1"/>
    <col min="15" max="16384" width="9.21875" style="1"/>
  </cols>
  <sheetData>
    <row r="1" spans="1:14" ht="54.75" customHeight="1" x14ac:dyDescent="0.25">
      <c r="A1" s="59" t="s">
        <v>18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51">
        <v>46184</v>
      </c>
      <c r="N1" s="52"/>
    </row>
    <row r="2" spans="1:14" ht="22.95" customHeight="1" x14ac:dyDescent="0.25">
      <c r="A2" s="53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4"/>
    </row>
    <row r="3" spans="1:14" s="3" customFormat="1" ht="50.25" customHeight="1" x14ac:dyDescent="0.3">
      <c r="A3" s="11" t="s">
        <v>0</v>
      </c>
      <c r="B3" s="2" t="s">
        <v>1</v>
      </c>
      <c r="C3" s="61" t="s">
        <v>2</v>
      </c>
      <c r="D3" s="61"/>
      <c r="E3" s="2" t="s">
        <v>3</v>
      </c>
      <c r="F3" s="21" t="s">
        <v>4</v>
      </c>
      <c r="G3" s="2" t="s">
        <v>6</v>
      </c>
      <c r="H3" s="2" t="s">
        <v>7</v>
      </c>
      <c r="I3" s="2" t="s">
        <v>31</v>
      </c>
      <c r="J3" s="2" t="s">
        <v>36</v>
      </c>
      <c r="K3" s="2"/>
      <c r="L3" s="2"/>
      <c r="M3" s="2" t="s">
        <v>37</v>
      </c>
      <c r="N3" s="55" t="s">
        <v>38</v>
      </c>
    </row>
    <row r="4" spans="1:14" ht="36.6" customHeight="1" x14ac:dyDescent="0.25">
      <c r="A4" s="62">
        <v>1</v>
      </c>
      <c r="B4" s="64" t="s">
        <v>10</v>
      </c>
      <c r="C4" s="66" t="s">
        <v>33</v>
      </c>
      <c r="D4" s="66"/>
      <c r="E4" s="39">
        <v>45936</v>
      </c>
      <c r="F4" s="39">
        <v>46356</v>
      </c>
      <c r="G4" s="41">
        <v>0.54859999999999998</v>
      </c>
      <c r="H4" s="41">
        <v>0.31519999999999998</v>
      </c>
      <c r="I4" s="41">
        <v>-0.19469999999999998</v>
      </c>
      <c r="J4" s="41">
        <v>-0.20709999999999995</v>
      </c>
      <c r="K4" s="41"/>
      <c r="L4" s="41"/>
      <c r="M4" s="50">
        <f>H4-G4</f>
        <v>-0.2334</v>
      </c>
      <c r="N4" s="58" t="str">
        <f>IF(OR(NOT(ISNUMBER(J4)),NOT(ISNUMBER(M4)),J4=0),"",
  IF(J4=M4,"Dəyişiklik olmayıb",
    IF(AND(J4&lt;0,M4&gt;0),
      "İrəliləmə başladı: "&amp;TEXT(ROUND(ABS(M4)*100,2),"0.00")&amp;"% qabaqda",
      IF(J4&gt;0,
        IF(M4&gt;J4,
          "⬆ İrəliləmə "&amp;TEXT(ROUND(ABS(M4-J4)*100,2),"0.00")&amp;"% artdı",
          "⬇ İrəliləmə "&amp;TEXT(ROUND(ABS(M4-J4)*100,2),"0.00")&amp;"% azaldı"
        ),
        IF(M4&lt;J4,
          "⬆ Gecikmə "&amp;TEXT(ROUND(ABS(M4-J4)*100,2),"0.00")&amp;"% artdı",
          "⬇ Gecikmə "&amp;TEXT(ROUND(ABS(M4-J4)*100,2),"0.00")&amp;"% azaldı"
        )
      )
    )
  )
)</f>
        <v>⬆ Gecikmə 2.63% artdı</v>
      </c>
    </row>
    <row r="5" spans="1:14" ht="36.6" customHeight="1" x14ac:dyDescent="0.25">
      <c r="A5" s="62"/>
      <c r="B5" s="64"/>
      <c r="C5" s="67" t="s">
        <v>17</v>
      </c>
      <c r="D5" s="22" t="s">
        <v>16</v>
      </c>
      <c r="E5" s="4">
        <v>45941</v>
      </c>
      <c r="F5" s="4">
        <v>46356</v>
      </c>
      <c r="G5" s="6">
        <v>0.55640000000000001</v>
      </c>
      <c r="H5" s="6">
        <v>0.40899999999999997</v>
      </c>
      <c r="I5" s="6">
        <v>-0.10650000000000004</v>
      </c>
      <c r="J5" s="6">
        <v>-0.12400000000000005</v>
      </c>
      <c r="K5" s="6"/>
      <c r="L5" s="6"/>
      <c r="M5" s="7">
        <f t="shared" ref="M5" si="0">H5-G5</f>
        <v>-0.14740000000000003</v>
      </c>
      <c r="N5" s="56" t="str">
        <f t="shared" ref="N5:N11" si="1">IF(OR(NOT(ISNUMBER(J5)),NOT(ISNUMBER(M5)),J5=0),"",
  IF(J5=M5,"Dəyişiklik olmayıb",
    IF(AND(J5&lt;0,M5&gt;0),
      "İrəliləmə başladı: "&amp;TEXT(ROUND(ABS(M5)*100,2),"0.00")&amp;"% qabaqda",
      IF(J5&gt;0,
        IF(M5&gt;J5,
          "⬆ İrəliləmə "&amp;TEXT(ROUND(ABS(M5-J5)*100,2),"0.00")&amp;"% artdı",
          "⬇ İrəliləmə "&amp;TEXT(ROUND(ABS(M5-J5)*100,2),"0.00")&amp;"% azaldı"
        ),
        IF(M5&lt;J5,
          "⬆ Gecikmə "&amp;TEXT(ROUND(ABS(M5-J5)*100,2),"0.00")&amp;"% artdı",
          "⬇ Gecikmə "&amp;TEXT(ROUND(ABS(M5-J5)*100,2),"0.00")&amp;"% azaldı"
        )
      )
    )
  )
)</f>
        <v>⬆ Gecikmə 2.34% artdı</v>
      </c>
    </row>
    <row r="6" spans="1:14" ht="24.6" customHeight="1" x14ac:dyDescent="0.25">
      <c r="A6" s="62"/>
      <c r="B6" s="64"/>
      <c r="C6" s="67"/>
      <c r="D6" s="69" t="s">
        <v>20</v>
      </c>
      <c r="E6" s="69"/>
      <c r="F6" s="69"/>
      <c r="G6" s="69"/>
      <c r="H6" s="69"/>
      <c r="I6" s="69"/>
      <c r="J6" s="69"/>
      <c r="K6" s="69"/>
      <c r="L6" s="69"/>
      <c r="M6" s="69"/>
      <c r="N6" s="56" t="str">
        <f t="shared" si="1"/>
        <v/>
      </c>
    </row>
    <row r="7" spans="1:14" ht="36.6" customHeight="1" x14ac:dyDescent="0.25">
      <c r="A7" s="62"/>
      <c r="B7" s="64"/>
      <c r="C7" s="67"/>
      <c r="D7" s="22" t="s">
        <v>25</v>
      </c>
      <c r="E7" s="4">
        <v>45941</v>
      </c>
      <c r="F7" s="4">
        <v>46295</v>
      </c>
      <c r="G7" s="6">
        <v>0.70760000000000001</v>
      </c>
      <c r="H7" s="6">
        <v>0.5292</v>
      </c>
      <c r="I7" s="6">
        <v>-0.12249999999999994</v>
      </c>
      <c r="J7" s="6">
        <v>-0.14670000000000005</v>
      </c>
      <c r="K7" s="6"/>
      <c r="L7" s="6"/>
      <c r="M7" s="7">
        <f>H7-G7</f>
        <v>-0.1784</v>
      </c>
      <c r="N7" s="56" t="str">
        <f t="shared" si="1"/>
        <v>⬆ Gecikmə 3.17% artdı</v>
      </c>
    </row>
    <row r="8" spans="1:14" ht="36.6" customHeight="1" x14ac:dyDescent="0.25">
      <c r="A8" s="62"/>
      <c r="B8" s="64"/>
      <c r="C8" s="67"/>
      <c r="D8" s="22" t="s">
        <v>26</v>
      </c>
      <c r="E8" s="4">
        <v>45941</v>
      </c>
      <c r="F8" s="4">
        <v>46326</v>
      </c>
      <c r="G8" s="6">
        <v>0.62039999999999995</v>
      </c>
      <c r="H8" s="6">
        <v>0.4249</v>
      </c>
      <c r="I8" s="6">
        <v>-0.15030000000000004</v>
      </c>
      <c r="J8" s="6">
        <v>-0.17200000000000004</v>
      </c>
      <c r="K8" s="6"/>
      <c r="L8" s="6"/>
      <c r="M8" s="7">
        <f t="shared" ref="M8:M11" si="2">H8-G8</f>
        <v>-0.19549999999999995</v>
      </c>
      <c r="N8" s="56" t="str">
        <f t="shared" si="1"/>
        <v>⬆ Gecikmə 2.35% artdı</v>
      </c>
    </row>
    <row r="9" spans="1:14" ht="36.6" customHeight="1" x14ac:dyDescent="0.25">
      <c r="A9" s="62"/>
      <c r="B9" s="64"/>
      <c r="C9" s="67"/>
      <c r="D9" s="22" t="s">
        <v>27</v>
      </c>
      <c r="E9" s="4">
        <v>45941</v>
      </c>
      <c r="F9" s="4">
        <v>46341</v>
      </c>
      <c r="G9" s="6">
        <v>0.4496</v>
      </c>
      <c r="H9" s="6">
        <v>0.33069999999999999</v>
      </c>
      <c r="I9" s="6">
        <v>-7.7600000000000002E-2</v>
      </c>
      <c r="J9" s="6">
        <v>-9.2499999999999971E-2</v>
      </c>
      <c r="K9" s="6"/>
      <c r="L9" s="6"/>
      <c r="M9" s="7">
        <f t="shared" si="2"/>
        <v>-0.11890000000000001</v>
      </c>
      <c r="N9" s="56" t="str">
        <f t="shared" si="1"/>
        <v>⬆ Gecikmə 2.64% artdı</v>
      </c>
    </row>
    <row r="10" spans="1:14" ht="36.6" customHeight="1" x14ac:dyDescent="0.25">
      <c r="A10" s="62"/>
      <c r="B10" s="64"/>
      <c r="C10" s="67"/>
      <c r="D10" s="22" t="s">
        <v>28</v>
      </c>
      <c r="E10" s="4">
        <v>45941</v>
      </c>
      <c r="F10" s="4">
        <v>46356</v>
      </c>
      <c r="G10" s="6">
        <v>0.4556</v>
      </c>
      <c r="H10" s="6">
        <v>0.3518</v>
      </c>
      <c r="I10" s="6">
        <v>-7.7800000000000036E-2</v>
      </c>
      <c r="J10" s="6">
        <v>-8.77E-2</v>
      </c>
      <c r="K10" s="6"/>
      <c r="L10" s="6"/>
      <c r="M10" s="7">
        <f t="shared" si="2"/>
        <v>-0.1038</v>
      </c>
      <c r="N10" s="56" t="str">
        <f t="shared" si="1"/>
        <v>⬆ Gecikmə 1.61% artdı</v>
      </c>
    </row>
    <row r="11" spans="1:14" ht="36.6" customHeight="1" thickBot="1" x14ac:dyDescent="0.3">
      <c r="A11" s="63"/>
      <c r="B11" s="65"/>
      <c r="C11" s="68"/>
      <c r="D11" s="13" t="s">
        <v>29</v>
      </c>
      <c r="E11" s="14">
        <v>46011</v>
      </c>
      <c r="F11" s="14">
        <v>46356</v>
      </c>
      <c r="G11" s="16">
        <v>0.53239999999999998</v>
      </c>
      <c r="H11" s="16">
        <v>0.1231</v>
      </c>
      <c r="I11" s="16">
        <v>-0.37509999999999999</v>
      </c>
      <c r="J11" s="16">
        <v>-0.37709999999999999</v>
      </c>
      <c r="K11" s="16"/>
      <c r="L11" s="16"/>
      <c r="M11" s="17">
        <f t="shared" si="2"/>
        <v>-0.4093</v>
      </c>
      <c r="N11" s="57" t="str">
        <f t="shared" si="1"/>
        <v>⬆ Gecikmə 3.22% artdı</v>
      </c>
    </row>
    <row r="13" spans="1:14" x14ac:dyDescent="0.25">
      <c r="A13" s="83" t="s">
        <v>39</v>
      </c>
      <c r="B13" s="84"/>
      <c r="C13" s="85"/>
    </row>
    <row r="14" spans="1:14" x14ac:dyDescent="0.25">
      <c r="A14" s="86" t="s">
        <v>40</v>
      </c>
      <c r="B14" s="87"/>
      <c r="C14" s="88"/>
    </row>
  </sheetData>
  <mergeCells count="9">
    <mergeCell ref="A13:C13"/>
    <mergeCell ref="A14:C14"/>
    <mergeCell ref="A1:L1"/>
    <mergeCell ref="C3:D3"/>
    <mergeCell ref="A4:A11"/>
    <mergeCell ref="B4:B11"/>
    <mergeCell ref="C4:D4"/>
    <mergeCell ref="C5:C11"/>
    <mergeCell ref="D6:M6"/>
  </mergeCells>
  <pageMargins left="0.7" right="0.7" top="0.75" bottom="0.75" header="0.3" footer="0.3"/>
  <pageSetup paperSize="9" scale="67" fitToHeight="0" orientation="landscape" verticalDpi="0" r:id="rId1"/>
  <ignoredErrors>
    <ignoredError sqref="M7:M11 D11 D6 D7 D8 D9 D10 F9 F7 M4:M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FED2-5B90-467E-BA10-DF20DEFDD74D}">
  <dimension ref="A1:M17"/>
  <sheetViews>
    <sheetView workbookViewId="0">
      <selection activeCell="I13" sqref="I13"/>
    </sheetView>
  </sheetViews>
  <sheetFormatPr defaultColWidth="9.21875" defaultRowHeight="13.8" x14ac:dyDescent="0.25"/>
  <cols>
    <col min="1" max="1" width="5.77734375" style="1" customWidth="1"/>
    <col min="2" max="2" width="25" style="1" customWidth="1"/>
    <col min="3" max="3" width="19.33203125" style="1" bestFit="1" customWidth="1"/>
    <col min="4" max="4" width="17" style="1" customWidth="1"/>
    <col min="5" max="5" width="14.6640625" style="1" customWidth="1"/>
    <col min="6" max="6" width="17" style="1" customWidth="1"/>
    <col min="7" max="7" width="17" style="1" hidden="1" customWidth="1"/>
    <col min="8" max="8" width="16.77734375" style="1" customWidth="1"/>
    <col min="9" max="12" width="16" style="1" customWidth="1"/>
    <col min="13" max="13" width="15.21875" style="1" customWidth="1"/>
    <col min="14" max="16384" width="9.21875" style="1"/>
  </cols>
  <sheetData>
    <row r="1" spans="1:13" ht="54.75" customHeight="1" thickBot="1" x14ac:dyDescent="0.3">
      <c r="A1" s="76" t="s">
        <v>18</v>
      </c>
      <c r="B1" s="77"/>
      <c r="C1" s="77"/>
      <c r="D1" s="77"/>
      <c r="E1" s="77"/>
      <c r="F1" s="77"/>
      <c r="G1" s="77"/>
      <c r="H1" s="77"/>
      <c r="I1" s="77"/>
      <c r="J1" s="77"/>
      <c r="K1" s="48"/>
      <c r="L1" s="48"/>
      <c r="M1" s="20">
        <v>46163</v>
      </c>
    </row>
    <row r="2" spans="1:13" ht="22.9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43"/>
      <c r="L2" s="43"/>
      <c r="M2" s="10"/>
    </row>
    <row r="3" spans="1:13" s="3" customFormat="1" ht="50.25" customHeight="1" x14ac:dyDescent="0.3">
      <c r="A3" s="11" t="s">
        <v>0</v>
      </c>
      <c r="B3" s="2" t="s">
        <v>1</v>
      </c>
      <c r="C3" s="61" t="s">
        <v>2</v>
      </c>
      <c r="D3" s="61"/>
      <c r="E3" s="2" t="s">
        <v>3</v>
      </c>
      <c r="F3" s="21" t="s">
        <v>4</v>
      </c>
      <c r="G3" s="2" t="s">
        <v>5</v>
      </c>
      <c r="H3" s="2" t="s">
        <v>6</v>
      </c>
      <c r="I3" s="2" t="s">
        <v>7</v>
      </c>
      <c r="J3" s="2" t="s">
        <v>31</v>
      </c>
      <c r="K3" s="44" t="s">
        <v>32</v>
      </c>
      <c r="L3" s="44" t="s">
        <v>34</v>
      </c>
      <c r="M3" s="19" t="s">
        <v>35</v>
      </c>
    </row>
    <row r="4" spans="1:13" ht="36.6" customHeight="1" x14ac:dyDescent="0.25">
      <c r="A4" s="62">
        <v>1</v>
      </c>
      <c r="B4" s="64" t="s">
        <v>10</v>
      </c>
      <c r="C4" s="78" t="s">
        <v>33</v>
      </c>
      <c r="D4" s="79"/>
      <c r="E4" s="39">
        <v>45936</v>
      </c>
      <c r="F4" s="39">
        <v>46356</v>
      </c>
      <c r="G4" s="40">
        <f>F4-E4</f>
        <v>420</v>
      </c>
      <c r="H4" s="41">
        <v>0.45660000000000001</v>
      </c>
      <c r="I4" s="41">
        <v>0.26050000000000001</v>
      </c>
      <c r="J4" s="41">
        <v>-0.19120000000000001</v>
      </c>
      <c r="K4" s="45">
        <v>-0.1825</v>
      </c>
      <c r="L4" s="45">
        <v>-0.17499999999999999</v>
      </c>
      <c r="M4" s="42">
        <f>I4-H4</f>
        <v>-0.1961</v>
      </c>
    </row>
    <row r="5" spans="1:13" ht="36.6" customHeight="1" x14ac:dyDescent="0.25">
      <c r="A5" s="62"/>
      <c r="B5" s="64"/>
      <c r="C5" s="80" t="s">
        <v>17</v>
      </c>
      <c r="D5" s="22" t="s">
        <v>16</v>
      </c>
      <c r="E5" s="4">
        <v>45941</v>
      </c>
      <c r="F5" s="4">
        <v>46356</v>
      </c>
      <c r="G5" s="5">
        <f t="shared" ref="G5" si="0">F5-E5</f>
        <v>415</v>
      </c>
      <c r="H5" s="6">
        <v>0.46789999999999998</v>
      </c>
      <c r="I5" s="6">
        <v>0.35239999999999999</v>
      </c>
      <c r="J5" s="36">
        <v>-0.14169999999999999</v>
      </c>
      <c r="K5" s="36">
        <v>-0.1119</v>
      </c>
      <c r="L5" s="36">
        <v>-9.8299999999999998E-2</v>
      </c>
      <c r="M5" s="29">
        <f t="shared" ref="M5" si="1">I5-H5</f>
        <v>-0.11549999999999999</v>
      </c>
    </row>
    <row r="6" spans="1:13" ht="24.6" customHeight="1" x14ac:dyDescent="0.25">
      <c r="A6" s="62"/>
      <c r="B6" s="64"/>
      <c r="C6" s="81"/>
      <c r="D6" s="73" t="s">
        <v>20</v>
      </c>
      <c r="E6" s="74"/>
      <c r="F6" s="74"/>
      <c r="G6" s="74"/>
      <c r="H6" s="74"/>
      <c r="I6" s="74"/>
      <c r="J6" s="74"/>
      <c r="K6" s="74"/>
      <c r="L6" s="74"/>
      <c r="M6" s="75"/>
    </row>
    <row r="7" spans="1:13" ht="36.6" customHeight="1" x14ac:dyDescent="0.25">
      <c r="A7" s="62"/>
      <c r="B7" s="64"/>
      <c r="C7" s="81"/>
      <c r="D7" s="22" t="s">
        <v>25</v>
      </c>
      <c r="E7" s="4">
        <v>45941</v>
      </c>
      <c r="F7" s="4">
        <v>46295</v>
      </c>
      <c r="G7" s="5">
        <f t="shared" ref="G7:G11" si="2">F7-E7</f>
        <v>354</v>
      </c>
      <c r="H7" s="6">
        <v>0.59970000000000001</v>
      </c>
      <c r="I7" s="6">
        <v>0.48130000000000001</v>
      </c>
      <c r="J7" s="36">
        <v>-0.11509999999999998</v>
      </c>
      <c r="K7" s="36">
        <v>-9.6800000000000053E-2</v>
      </c>
      <c r="L7" s="36">
        <v>-8.9199999999999946E-2</v>
      </c>
      <c r="M7" s="29">
        <f>I7-H7</f>
        <v>-0.11840000000000001</v>
      </c>
    </row>
    <row r="8" spans="1:13" ht="36.6" customHeight="1" x14ac:dyDescent="0.25">
      <c r="A8" s="62"/>
      <c r="B8" s="64"/>
      <c r="C8" s="81"/>
      <c r="D8" s="22" t="s">
        <v>26</v>
      </c>
      <c r="E8" s="4">
        <v>45941</v>
      </c>
      <c r="F8" s="4">
        <v>46326</v>
      </c>
      <c r="G8" s="5">
        <f t="shared" si="2"/>
        <v>385</v>
      </c>
      <c r="H8" s="6">
        <v>0.52380000000000004</v>
      </c>
      <c r="I8" s="6">
        <v>0.38279999999999997</v>
      </c>
      <c r="J8" s="36">
        <v>-9.5000000000000029E-2</v>
      </c>
      <c r="K8" s="36">
        <v>-0.13569999999999999</v>
      </c>
      <c r="L8" s="36">
        <v>-0.1245</v>
      </c>
      <c r="M8" s="29">
        <f t="shared" ref="M8:M11" si="3">I8-H8</f>
        <v>-0.14100000000000007</v>
      </c>
    </row>
    <row r="9" spans="1:13" ht="36.6" customHeight="1" x14ac:dyDescent="0.25">
      <c r="A9" s="62"/>
      <c r="B9" s="64"/>
      <c r="C9" s="81"/>
      <c r="D9" s="22" t="s">
        <v>27</v>
      </c>
      <c r="E9" s="4">
        <v>45941</v>
      </c>
      <c r="F9" s="4">
        <v>46341</v>
      </c>
      <c r="G9" s="5">
        <f t="shared" si="2"/>
        <v>400</v>
      </c>
      <c r="H9" s="6">
        <v>0.3629</v>
      </c>
      <c r="I9" s="6">
        <v>0.2581</v>
      </c>
      <c r="J9" s="36">
        <v>-8.3000000000000018E-2</v>
      </c>
      <c r="K9" s="36">
        <v>-8.9499999999999996E-2</v>
      </c>
      <c r="L9" s="36">
        <v>-9.1700000000000031E-2</v>
      </c>
      <c r="M9" s="29">
        <f t="shared" si="3"/>
        <v>-0.1048</v>
      </c>
    </row>
    <row r="10" spans="1:13" ht="36.6" customHeight="1" thickBot="1" x14ac:dyDescent="0.3">
      <c r="A10" s="62"/>
      <c r="B10" s="64"/>
      <c r="C10" s="81"/>
      <c r="D10" s="13" t="s">
        <v>28</v>
      </c>
      <c r="E10" s="14">
        <v>45941</v>
      </c>
      <c r="F10" s="14">
        <v>46356</v>
      </c>
      <c r="G10" s="15">
        <f t="shared" si="2"/>
        <v>415</v>
      </c>
      <c r="H10" s="16">
        <v>0.38719999999999999</v>
      </c>
      <c r="I10" s="16">
        <v>0.28760000000000002</v>
      </c>
      <c r="J10" s="37">
        <v>-8.8999999999999996E-2</v>
      </c>
      <c r="K10" s="37">
        <v>-9.1999999999999971E-2</v>
      </c>
      <c r="L10" s="37">
        <v>-8.9099999999999957E-2</v>
      </c>
      <c r="M10" s="30">
        <f t="shared" si="3"/>
        <v>-9.9599999999999966E-2</v>
      </c>
    </row>
    <row r="11" spans="1:13" ht="36.6" customHeight="1" x14ac:dyDescent="0.25">
      <c r="A11" s="62"/>
      <c r="B11" s="64"/>
      <c r="C11" s="81"/>
      <c r="D11" s="23" t="s">
        <v>29</v>
      </c>
      <c r="E11" s="24">
        <v>46011</v>
      </c>
      <c r="F11" s="24">
        <v>46356</v>
      </c>
      <c r="G11" s="25">
        <f t="shared" si="2"/>
        <v>345</v>
      </c>
      <c r="H11" s="26">
        <v>0.43330000000000002</v>
      </c>
      <c r="I11" s="26">
        <v>7.2499999999999995E-2</v>
      </c>
      <c r="J11" s="38">
        <v>-0.32829999999999998</v>
      </c>
      <c r="K11" s="38">
        <v>-0.32250000000000001</v>
      </c>
      <c r="L11" s="38">
        <v>-0.33199999999999996</v>
      </c>
      <c r="M11" s="31">
        <f t="shared" si="3"/>
        <v>-0.36080000000000001</v>
      </c>
    </row>
    <row r="12" spans="1:13" ht="36.6" customHeight="1" x14ac:dyDescent="0.25">
      <c r="A12" s="62"/>
      <c r="B12" s="64"/>
      <c r="C12" s="81"/>
      <c r="D12" s="22" t="s">
        <v>14</v>
      </c>
      <c r="E12" s="32" t="s">
        <v>30</v>
      </c>
      <c r="F12" s="32" t="s">
        <v>30</v>
      </c>
      <c r="G12" s="32" t="s">
        <v>30</v>
      </c>
      <c r="H12" s="32" t="s">
        <v>30</v>
      </c>
      <c r="I12" s="32" t="s">
        <v>30</v>
      </c>
      <c r="J12" s="32" t="s">
        <v>30</v>
      </c>
      <c r="K12" s="46" t="s">
        <v>30</v>
      </c>
      <c r="L12" s="46" t="s">
        <v>30</v>
      </c>
      <c r="M12" s="33" t="s">
        <v>30</v>
      </c>
    </row>
    <row r="13" spans="1:13" ht="36.6" customHeight="1" x14ac:dyDescent="0.25">
      <c r="A13" s="62"/>
      <c r="B13" s="64"/>
      <c r="C13" s="81"/>
      <c r="D13" s="22" t="s">
        <v>11</v>
      </c>
      <c r="E13" s="32" t="s">
        <v>30</v>
      </c>
      <c r="F13" s="32" t="s">
        <v>30</v>
      </c>
      <c r="G13" s="32" t="s">
        <v>30</v>
      </c>
      <c r="H13" s="32" t="s">
        <v>30</v>
      </c>
      <c r="I13" s="32" t="s">
        <v>30</v>
      </c>
      <c r="J13" s="32" t="s">
        <v>30</v>
      </c>
      <c r="K13" s="46" t="s">
        <v>30</v>
      </c>
      <c r="L13" s="46" t="s">
        <v>30</v>
      </c>
      <c r="M13" s="33" t="s">
        <v>30</v>
      </c>
    </row>
    <row r="14" spans="1:13" ht="36.6" customHeight="1" x14ac:dyDescent="0.25">
      <c r="A14" s="62"/>
      <c r="B14" s="64"/>
      <c r="C14" s="81"/>
      <c r="D14" s="22" t="s">
        <v>12</v>
      </c>
      <c r="E14" s="32" t="s">
        <v>30</v>
      </c>
      <c r="F14" s="32" t="s">
        <v>30</v>
      </c>
      <c r="G14" s="32" t="s">
        <v>30</v>
      </c>
      <c r="H14" s="32" t="s">
        <v>30</v>
      </c>
      <c r="I14" s="32" t="s">
        <v>30</v>
      </c>
      <c r="J14" s="32" t="s">
        <v>30</v>
      </c>
      <c r="K14" s="46" t="s">
        <v>30</v>
      </c>
      <c r="L14" s="46" t="s">
        <v>30</v>
      </c>
      <c r="M14" s="33" t="s">
        <v>30</v>
      </c>
    </row>
    <row r="15" spans="1:13" ht="36.6" customHeight="1" x14ac:dyDescent="0.25">
      <c r="A15" s="62"/>
      <c r="B15" s="64"/>
      <c r="C15" s="81"/>
      <c r="D15" s="22" t="s">
        <v>13</v>
      </c>
      <c r="E15" s="32" t="s">
        <v>30</v>
      </c>
      <c r="F15" s="32" t="s">
        <v>30</v>
      </c>
      <c r="G15" s="32" t="s">
        <v>30</v>
      </c>
      <c r="H15" s="32" t="s">
        <v>30</v>
      </c>
      <c r="I15" s="32" t="s">
        <v>30</v>
      </c>
      <c r="J15" s="32" t="s">
        <v>30</v>
      </c>
      <c r="K15" s="46" t="s">
        <v>30</v>
      </c>
      <c r="L15" s="46" t="s">
        <v>30</v>
      </c>
      <c r="M15" s="33" t="s">
        <v>30</v>
      </c>
    </row>
    <row r="16" spans="1:13" ht="36.6" customHeight="1" x14ac:dyDescent="0.25">
      <c r="A16" s="62"/>
      <c r="B16" s="64"/>
      <c r="C16" s="81"/>
      <c r="D16" s="22" t="s">
        <v>15</v>
      </c>
      <c r="E16" s="32" t="s">
        <v>30</v>
      </c>
      <c r="F16" s="32" t="s">
        <v>30</v>
      </c>
      <c r="G16" s="32" t="s">
        <v>30</v>
      </c>
      <c r="H16" s="32" t="s">
        <v>30</v>
      </c>
      <c r="I16" s="32" t="s">
        <v>30</v>
      </c>
      <c r="J16" s="32" t="s">
        <v>30</v>
      </c>
      <c r="K16" s="46" t="s">
        <v>30</v>
      </c>
      <c r="L16" s="46" t="s">
        <v>30</v>
      </c>
      <c r="M16" s="33" t="s">
        <v>30</v>
      </c>
    </row>
    <row r="17" spans="1:13" ht="36.6" customHeight="1" thickBot="1" x14ac:dyDescent="0.3">
      <c r="A17" s="63"/>
      <c r="B17" s="65"/>
      <c r="C17" s="82"/>
      <c r="D17" s="13" t="s">
        <v>21</v>
      </c>
      <c r="E17" s="34" t="s">
        <v>30</v>
      </c>
      <c r="F17" s="34" t="s">
        <v>30</v>
      </c>
      <c r="G17" s="34" t="s">
        <v>30</v>
      </c>
      <c r="H17" s="34" t="s">
        <v>30</v>
      </c>
      <c r="I17" s="34" t="s">
        <v>30</v>
      </c>
      <c r="J17" s="34" t="s">
        <v>30</v>
      </c>
      <c r="K17" s="47" t="s">
        <v>30</v>
      </c>
      <c r="L17" s="47" t="s">
        <v>30</v>
      </c>
      <c r="M17" s="35" t="s">
        <v>30</v>
      </c>
    </row>
  </sheetData>
  <mergeCells count="7">
    <mergeCell ref="A1:J1"/>
    <mergeCell ref="C3:D3"/>
    <mergeCell ref="A4:A17"/>
    <mergeCell ref="B4:B17"/>
    <mergeCell ref="C4:D4"/>
    <mergeCell ref="C5:C17"/>
    <mergeCell ref="D6:M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Qərvənd (köhnə)</vt:lpstr>
      <vt:lpstr>Qərvənd (yeni.</vt:lpstr>
      <vt:lpstr>Qərvənd (yeni)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Niyameddin Shikhiyev-External</dc:creator>
  <cp:lastModifiedBy>Narmin Ismayilova</cp:lastModifiedBy>
  <cp:lastPrinted>2026-05-25T10:51:43Z</cp:lastPrinted>
  <dcterms:created xsi:type="dcterms:W3CDTF">2026-04-16T19:36:20Z</dcterms:created>
  <dcterms:modified xsi:type="dcterms:W3CDTF">2026-06-16T11:53:08Z</dcterms:modified>
</cp:coreProperties>
</file>